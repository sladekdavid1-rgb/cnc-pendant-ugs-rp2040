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 skupin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Odhad úbytku výstupu 74HC595 při ~2 mA a 3,3 V.</t>
        </r>
      </text>
    </comment>
    <comment ref="F7" authorId="0">
      <text>
        <r>
          <rPr>
            <sz val="10"/>
            <rFont val="Arial"/>
            <family val="2"/>
          </rPr>
          <t xml:space="preserve">Předpoklad: typický Vf LED 0603 při ~1–2 mA. Uprav podle datasheetu tvých LED.</t>
        </r>
      </text>
    </comment>
    <comment ref="F8" authorId="0">
      <text>
        <r>
          <rPr>
            <sz val="10"/>
            <rFont val="Arial"/>
            <family val="2"/>
          </rPr>
          <t xml:space="preserve">Předpoklad: typický Vf LED 0603 při ~1–2 mA. Uprav podle datasheetu tvých LED.</t>
        </r>
      </text>
    </comment>
    <comment ref="F9" authorId="0">
      <text>
        <r>
          <rPr>
            <sz val="10"/>
            <rFont val="Arial"/>
            <family val="2"/>
          </rPr>
          <t xml:space="preserve">Předpoklad: typický Vf LED 0603 při ~1–2 mA. Uprav podle datasheetu tvých LED.</t>
        </r>
      </text>
    </comment>
    <comment ref="F10" authorId="0">
      <text>
        <r>
          <rPr>
            <sz val="10"/>
            <rFont val="Arial"/>
            <family val="2"/>
          </rPr>
          <t xml:space="preserve">Předpoklad: typický Vf LED 0603 při ~1–2 mA. Uprav podle datasheetu tvých LED.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<sst xmlns="http://schemas.openxmlformats.org/spreadsheetml/2006/main" count="29" uniqueCount="29">
  <si>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CNC pendant – LED se společným odporem ke GND (1 odpor na skupinu)</t>
  </si>
  <si>
    <t xml:space="preserve">Napájecí napětí 595 [V]</t>
  </si>
  <si>
    <t xml:space="preserve">Úbytek na výstupu 595 [V]</t>
  </si>
  <si>
    <t xml:space="preserve">Skupina</t>
  </si>
  <si>
    <t xml:space="preserve">LED</t>
  </si>
  <si>
    <t xml:space="preserve">Počet LED</t>
  </si>
  <si>
    <t xml:space="preserve">Odpor</t>
  </si>
  <si>
    <t xml:space="preserve">Hodnota [Ω]</t>
  </si>
  <si>
    <t xml:space="preserve">Úbytek LED Vf [V]</t>
  </si>
  <si>
    <t xml:space="preserve">Proud LED [mA]</t>
  </si>
  <si>
    <t xml:space="preserve">Poznámka</t>
  </si>
  <si>
    <t xml:space="preserve">Osa X/Y/Z</t>
  </si>
  <si>
    <t xml:space="preserve">LED1–3</t>
  </si>
  <si>
    <t xml:space="preserve">R31</t>
  </si>
  <si>
    <t xml:space="preserve">zelené; čistě zelené (~3 V) svítí slabě → žlutozelené nebo 100 Ω</t>
  </si>
  <si>
    <t xml:space="preserve">Krok XY</t>
  </si>
  <si>
    <t xml:space="preserve">LED4–9</t>
  </si>
  <si>
    <t xml:space="preserve">R33</t>
  </si>
  <si>
    <t xml:space="preserve">Krok Z</t>
  </si>
  <si>
    <t xml:space="preserve">LED10–13</t>
  </si>
  <si>
    <t xml:space="preserve">R32</t>
  </si>
  <si>
    <t xml:space="preserve">Rychlost</t>
  </si>
  <si>
    <t xml:space="preserve">LED14–19</t>
  </si>
  <si>
    <t xml:space="preserve">R34</t>
  </si>
  <si>
    <t xml:space="preserve">Celkem LED</t>
  </si>
  <si>
    <t xml:space="preserve">Odporů dřív (1 na LED)</t>
  </si>
  <si>
    <t xml:space="preserve">Odporů teď (1 na skupinu)</t>
  </si>
  <si>
    <t xml:space="preserve">Ušetřeno odporů</t>
  </si>
  <si>
    <t xml:space="preserve">Podmínka: v každé skupině smí svítit vždy jen jedna LED (firmware to tak dělá). Modře = vstupy, které můžeš měnit.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</si>
</sst>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3.3</v>
      </c>
    </row>
    <row r="4" customFormat="false" ht="15" hidden="false" customHeight="false" outlineLevel="0" collapsed="false">
      <c r="A4" s="0" t="s">
        <v>2</v>
      </c>
      <c r="B4" s="2" t="n">
        <v>0.2</v>
      </c>
    </row>
    <row r="6" customFormat="false" ht="31.5" hidden="false" customHeight="true" outlineLevel="0" collapsed="false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5" t="n">
        <v>3</v>
      </c>
      <c r="D7" s="4" t="s">
        <v>13</v>
      </c>
      <c r="E7" s="5" t="n">
        <v>330</v>
      </c>
      <c r="F7" s="5" t="n">
        <v>2.2</v>
      </c>
      <c r="G7" s="6" t="n">
        <f aca="false">($B$3-$B$4-F7)/E7*1000</f>
        <v>2.72727272727273</v>
      </c>
      <c r="H7" s="4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n">
        <v>6</v>
      </c>
      <c r="D8" s="4" t="s">
        <v>17</v>
      </c>
      <c r="E8" s="5" t="n">
        <v>820</v>
      </c>
      <c r="F8" s="5" t="n">
        <v>2</v>
      </c>
      <c r="G8" s="6" t="n">
        <f aca="false">($B$3-$B$4-F8)/E8*1000</f>
        <v>1.34146341463415</v>
      </c>
      <c r="H8" s="4"/>
    </row>
    <row r="9" customFormat="false" ht="15" hidden="false" customHeight="false" outlineLevel="0" collapsed="false">
      <c r="A9" s="4" t="s">
        <v>18</v>
      </c>
      <c r="B9" s="4" t="s">
        <v>19</v>
      </c>
      <c r="C9" s="5" t="n">
        <v>4</v>
      </c>
      <c r="D9" s="4" t="s">
        <v>20</v>
      </c>
      <c r="E9" s="5" t="n">
        <v>820</v>
      </c>
      <c r="F9" s="5" t="n">
        <v>2</v>
      </c>
      <c r="G9" s="6" t="n">
        <f aca="false">($B$3-$B$4-F9)/E9*1000</f>
        <v>1.34146341463415</v>
      </c>
      <c r="H9" s="4"/>
    </row>
    <row r="10" customFormat="false" ht="15" hidden="false" customHeight="false" outlineLevel="0" collapsed="false">
      <c r="A10" s="4" t="s">
        <v>21</v>
      </c>
      <c r="B10" s="4" t="s">
        <v>22</v>
      </c>
      <c r="C10" s="5" t="n">
        <v>6</v>
      </c>
      <c r="D10" s="4" t="s">
        <v>23</v>
      </c>
      <c r="E10" s="5" t="n">
        <v>820</v>
      </c>
      <c r="F10" s="5" t="n">
        <v>2</v>
      </c>
      <c r="G10" s="6" t="n">
        <f aca="false">($B$3-$B$4-F10)/E10*1000</f>
        <v>1.34146341463415</v>
      </c>
      <c r="H10" s="4"/>
    </row>
    <row r="12" customFormat="false" ht="15" hidden="false" customHeight="false" outlineLevel="0" collapsed="false">
      <c r="A12" s="7" t="s">
        <v>24</v>
      </c>
      <c r="C12" s="7" t="n">
        <f aca="false">SUM(C7:C10)</f>
        <v>19</v>
      </c>
    </row>
    <row r="13" customFormat="false" ht="15" hidden="false" customHeight="false" outlineLevel="0" collapsed="false">
      <c r="A13" s="8" t="s">
        <v>25</v>
      </c>
      <c r="C13" s="8" t="n">
        <f aca="false">C12</f>
        <v>19</v>
      </c>
    </row>
    <row r="14" customFormat="false" ht="15" hidden="false" customHeight="false" outlineLevel="0" collapsed="false">
      <c r="A14" s="8" t="s">
        <v>26</v>
      </c>
      <c r="C14" s="8" t="n">
        <f aca="false">COUNTA(D7:D10)</f>
        <v>4</v>
      </c>
    </row>
    <row r="15" customFormat="false" ht="15" hidden="false" customHeight="false" outlineLevel="0" collapsed="false">
      <c r="A15" s="7" t="s">
        <v>27</v>
      </c>
      <c r="C15" s="7" t="n">
        <f aca="false">C13-C14</f>
        <v>15</v>
      </c>
    </row>
    <row r="17" customFormat="false" ht="15" hidden="false" customHeight="false" outlineLevel="0" collapsed="false">
      <c r="A17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2026-10-07T10:50:11Z</dcterms:created>
  <dc:creator>openpyxl</dc:creator>
  <dc:description/>
  <dc:language>en-US</dc:language>
  <cp:lastModifiedBy/>
  <dcterms:modified xsi:type="dcterms:W3CDTF">2026-10-07T10:50:11Z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